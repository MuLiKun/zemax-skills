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traewokspace\agentstudy\tolerance_analysis\"/>
    </mc:Choice>
  </mc:AlternateContent>
  <xr:revisionPtr revIDLastSave="0" documentId="13_ncr:1_{595A4268-135B-4D93-B7EA-EDB460C5B60E}" xr6:coauthVersionLast="47" xr6:coauthVersionMax="47" xr10:uidLastSave="{00000000-0000-0000-0000-000000000000}"/>
  <bookViews>
    <workbookView xWindow="-108" yWindow="-108" windowWidth="30936" windowHeight="16776" firstSheet="2" activeTab="10" xr2:uid="{00000000-000D-0000-FFFF-FFFF00000000}"/>
  </bookViews>
  <sheets>
    <sheet name="说明" sheetId="1" r:id="rId1"/>
    <sheet name="示例_公差向导" sheetId="2" r:id="rId2"/>
    <sheet name="输入_公差向导" sheetId="3" r:id="rId3"/>
    <sheet name="示例_公差明细" sheetId="4" r:id="rId4"/>
    <sheet name="输入_公差明细" sheetId="5" r:id="rId5"/>
    <sheet name="示例_评价函数" sheetId="6" r:id="rId6"/>
    <sheet name="输入_评价函数" sheetId="7" r:id="rId7"/>
    <sheet name="示例_REPORT" sheetId="8" r:id="rId8"/>
    <sheet name="输入_REPORT" sheetId="9" r:id="rId9"/>
    <sheet name="示例_运行参数" sheetId="10" r:id="rId10"/>
    <sheet name="输入_运行参数" sheetId="11" r:id="rId11"/>
  </sheets>
  <calcPr calcId="0"/>
</workbook>
</file>

<file path=xl/sharedStrings.xml><?xml version="1.0" encoding="utf-8"?>
<sst xmlns="http://schemas.openxmlformats.org/spreadsheetml/2006/main" count="285" uniqueCount="125">
  <si>
    <t>Zemax 公差分析自动化程序 —— 配置说明</t>
  </si>
  <si>
    <t>1. 本工作簿用 sheet 名前缀区分：</t>
  </si>
  <si>
    <t xml:space="preserve">   示例_*  ：只读参考模板，请勿删除，程序忽略其内容。</t>
  </si>
  <si>
    <t xml:space="preserve">   输入_*  ：用户实际填写，程序只读取这些 sheet。</t>
  </si>
  <si>
    <t>2. 每个 sheet 第 1 行是表头；数据从第 2 行开始；空行跳过；# 开头的行视为注释。</t>
  </si>
  <si>
    <t>3. 公差表两种方式可叠加：先用 输入_公差向导 批量生成默认，</t>
  </si>
  <si>
    <t xml:space="preserve">   再用 输入_公差明细 逐行追加公差；该表可直接粘贴 Zemax GUI 中间数据行。</t>
  </si>
  <si>
    <t xml:space="preserve">   旧模板中若仍保留“操作”列，程序仍兼容追加/覆盖/删除。</t>
  </si>
  <si>
    <t>4. 评价函数 sheet 的 行号 与 REPORT sheet 的 MF行号 一一对应。</t>
  </si>
  <si>
    <t>5. 每个启用的 REPORT 行将在蒙特卡洛结果中成为一个独立分项列。</t>
  </si>
  <si>
    <t>6. 运行参数中 保存TSC 始终为 Y；保存WorstCase/BestCase 由用户选择 Y/N。</t>
  </si>
  <si>
    <t>7. 后焦补偿面留空=不加 TDE 补偿器；填面号则在该面厚度加 COMP，</t>
  </si>
  <si>
    <t xml:space="preserve">   补偿Min/Max 留空时由 Zemax 自由调整，补偿线对为补偿专用 MF 的 GMTA 频率。</t>
  </si>
  <si>
    <t>启用</t>
  </si>
  <si>
    <t>公差类别</t>
  </si>
  <si>
    <t>数值</t>
  </si>
  <si>
    <t>单位</t>
  </si>
  <si>
    <t>起始面</t>
  </si>
  <si>
    <t>结束面</t>
  </si>
  <si>
    <t>跳过面</t>
  </si>
  <si>
    <t>Y</t>
  </si>
  <si>
    <t>半径</t>
  </si>
  <si>
    <t>光圈</t>
  </si>
  <si>
    <t>厚度</t>
  </si>
  <si>
    <t>mm</t>
  </si>
  <si>
    <t>面偏心X</t>
  </si>
  <si>
    <t>面偏心Y</t>
  </si>
  <si>
    <t>面倾斜X</t>
  </si>
  <si>
    <t>度</t>
  </si>
  <si>
    <t>面倾斜Y</t>
  </si>
  <si>
    <t>元件偏心X</t>
  </si>
  <si>
    <t>元件偏心Y</t>
  </si>
  <si>
    <t>元件倾斜X</t>
  </si>
  <si>
    <t>元件倾斜Y</t>
  </si>
  <si>
    <t>面不规则</t>
  </si>
  <si>
    <t>N</t>
  </si>
  <si>
    <t>Zernike不规则度</t>
  </si>
  <si>
    <t>折射率</t>
  </si>
  <si>
    <t>-</t>
  </si>
  <si>
    <t>阿贝%</t>
  </si>
  <si>
    <t>%</t>
  </si>
  <si>
    <t>操作数</t>
  </si>
  <si>
    <t>面1</t>
  </si>
  <si>
    <t>面2</t>
  </si>
  <si>
    <t>Min</t>
  </si>
  <si>
    <t>Max</t>
  </si>
  <si>
    <t>注释</t>
  </si>
  <si>
    <t>TFRN</t>
  </si>
  <si>
    <t>第5面半径3环</t>
  </si>
  <si>
    <t>TTHI</t>
  </si>
  <si>
    <t>第6面厚度公差</t>
  </si>
  <si>
    <t>TIRR</t>
  </si>
  <si>
    <t>第7面不规则</t>
  </si>
  <si>
    <t>行号</t>
  </si>
  <si>
    <t>Param1</t>
  </si>
  <si>
    <t>Param2</t>
  </si>
  <si>
    <t>Param3</t>
  </si>
  <si>
    <t>Param4</t>
  </si>
  <si>
    <t>Param5</t>
  </si>
  <si>
    <t>Param6</t>
  </si>
  <si>
    <t>Param7</t>
  </si>
  <si>
    <t>Param8</t>
  </si>
  <si>
    <t>目标</t>
  </si>
  <si>
    <t>权重</t>
  </si>
  <si>
    <t>RSCE</t>
  </si>
  <si>
    <t>点列 Hy0.0 (P1采样 P2波长 P4视场)</t>
  </si>
  <si>
    <t>点列 Hy0.5</t>
  </si>
  <si>
    <t>点列 Hy0.9</t>
  </si>
  <si>
    <t>GENC</t>
  </si>
  <si>
    <t>GENC95 F1 (P3视场号 P4能量比)</t>
  </si>
  <si>
    <t>GENC95 F5</t>
  </si>
  <si>
    <t>GENC95 F8</t>
  </si>
  <si>
    <t>GMTT</t>
  </si>
  <si>
    <t>几何MTF子午 F1 (P3视场号 P4频率lp/mm)</t>
  </si>
  <si>
    <t>GMTS</t>
  </si>
  <si>
    <t>几何MTF弧矢 F1</t>
  </si>
  <si>
    <t>标签</t>
  </si>
  <si>
    <t>MF行号</t>
  </si>
  <si>
    <t>方向</t>
  </si>
  <si>
    <t>SPOT_Hy0.0</t>
  </si>
  <si>
    <t>小</t>
  </si>
  <si>
    <t>SPOT_Hy0.5</t>
  </si>
  <si>
    <t>SPOT_Hy0.9</t>
  </si>
  <si>
    <t>GENC95_F1</t>
  </si>
  <si>
    <t>um</t>
  </si>
  <si>
    <t>GMTFT_F1</t>
  </si>
  <si>
    <t>大</t>
  </si>
  <si>
    <t>GMTFS_F1</t>
  </si>
  <si>
    <t>参数键</t>
  </si>
  <si>
    <t>值</t>
  </si>
  <si>
    <t>备注</t>
  </si>
  <si>
    <t>蒙特卡洛次数</t>
  </si>
  <si>
    <t>NumberOfRuns</t>
  </si>
  <si>
    <t>保存数量</t>
  </si>
  <si>
    <t>NumberToSave 保存最差前N个</t>
  </si>
  <si>
    <t>统计分布</t>
  </si>
  <si>
    <t>正态</t>
  </si>
  <si>
    <t>正态/均匀/抛物线</t>
  </si>
  <si>
    <t>补偿器模式</t>
  </si>
  <si>
    <t>近轴焦点</t>
  </si>
  <si>
    <t>近轴焦点/全部优化DLS/无/全部优化OD</t>
  </si>
  <si>
    <t>TSC优化周期</t>
  </si>
  <si>
    <t>TSC 内 OPTIMIZE n</t>
  </si>
  <si>
    <t>中心波长号</t>
  </si>
  <si>
    <t>评估用 Wave 编号</t>
  </si>
  <si>
    <t>后焦补偿面</t>
  </si>
  <si>
    <t>COMP 补偿面号；留空=不加补偿器</t>
  </si>
  <si>
    <t>补偿Min</t>
  </si>
  <si>
    <t>补偿下限；留空=Zemax 自由调整</t>
  </si>
  <si>
    <t>补偿Max</t>
  </si>
  <si>
    <t>补偿上限；留空=Zemax 自由调整</t>
  </si>
  <si>
    <t>补偿线对</t>
  </si>
  <si>
    <t>补偿专用 MF 的 GMTA 频率 lp/mm</t>
  </si>
  <si>
    <t>保存TSC</t>
  </si>
  <si>
    <t>始终保存</t>
  </si>
  <si>
    <t>保存WorstCase</t>
  </si>
  <si>
    <t>保存最差案例文件</t>
  </si>
  <si>
    <t>保存BestCase</t>
  </si>
  <si>
    <t>保存最佳案例文件</t>
  </si>
  <si>
    <t>输出统计Excel</t>
  </si>
  <si>
    <t>Y=导出ZTD统计Excel，含百分位与Cpk1.33规格限</t>
  </si>
  <si>
    <t>输出直方图</t>
  </si>
  <si>
    <t>本期预留，默认关</t>
  </si>
  <si>
    <t>光圈</t>
    <phoneticPr fontId="3" type="noConversion"/>
  </si>
  <si>
    <t>度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</si>
</sst>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3"/>
      <name val="宋体"/>
      <charset val="134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0" fillId="3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workbookViewId="0"/>
  </sheetViews>
  <sheetFormatPr defaultRowHeight="14.4" x14ac:dyDescent="0.25"/>
  <cols>
    <col min="1" max="1" width="70" customWidth="1"/>
  </cols>
  <sheetData>
    <row r="1" spans="1:1" ht="16.8" x14ac:dyDescent="0.25">
      <c r="A1" s="1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workbookViewId="0"/>
  </sheetViews>
  <sheetFormatPr defaultRowHeight="14.4" x14ac:dyDescent="0.25"/>
  <cols>
    <col min="1" max="7" width="10" customWidth="1"/>
  </cols>
  <sheetData>
    <row r="1" spans="1:7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</row>
    <row r="2" spans="1:7" x14ac:dyDescent="0.25">
      <c r="A2" s="3" t="s">
        <v>20</v>
      </c>
      <c r="B2" s="3" t="s">
        <v>21</v>
      </c>
      <c r="C2" s="3">
        <v>3</v>
      </c>
      <c r="D2" s="3" t="s">
        <v>22</v>
      </c>
      <c r="E2" s="3">
        <v>3</v>
      </c>
      <c r="F2" s="3">
        <v>13</v>
      </c>
      <c r="G2" s="3">
        <v>9</v>
      </c>
    </row>
    <row r="3" spans="1:7" x14ac:dyDescent="0.25">
      <c r="A3" s="3" t="s">
        <v>20</v>
      </c>
      <c r="B3" s="3" t="s">
        <v>23</v>
      </c>
      <c r="C3" s="3">
        <v>0.03</v>
      </c>
      <c r="D3" s="3" t="s">
        <v>24</v>
      </c>
      <c r="E3" s="3">
        <v>3</v>
      </c>
      <c r="F3" s="3">
        <v>13</v>
      </c>
      <c r="G3" s="3">
        <v>9</v>
      </c>
    </row>
    <row r="4" spans="1:7" x14ac:dyDescent="0.25">
      <c r="A4" s="3" t="s">
        <v>20</v>
      </c>
      <c r="B4" s="3" t="s">
        <v>25</v>
      </c>
      <c r="C4" s="3">
        <v>0.02</v>
      </c>
      <c r="D4" s="3" t="s">
        <v>24</v>
      </c>
      <c r="E4" s="3">
        <v>3</v>
      </c>
      <c r="F4" s="3">
        <v>13</v>
      </c>
      <c r="G4" s="3">
        <v>9</v>
      </c>
    </row>
    <row r="5" spans="1:7" x14ac:dyDescent="0.25">
      <c r="A5" s="3" t="s">
        <v>20</v>
      </c>
      <c r="B5" s="3" t="s">
        <v>26</v>
      </c>
      <c r="C5" s="3">
        <v>0.02</v>
      </c>
      <c r="D5" s="3" t="s">
        <v>24</v>
      </c>
      <c r="E5" s="3">
        <v>3</v>
      </c>
      <c r="F5" s="3">
        <v>13</v>
      </c>
      <c r="G5" s="3">
        <v>9</v>
      </c>
    </row>
    <row r="6" spans="1:7" x14ac:dyDescent="0.25">
      <c r="A6" s="3" t="s">
        <v>20</v>
      </c>
      <c r="B6" s="3" t="s">
        <v>27</v>
      </c>
      <c r="C6" s="3">
        <v>0.2</v>
      </c>
      <c r="D6" s="3" t="s">
        <v>28</v>
      </c>
      <c r="E6" s="3">
        <v>3</v>
      </c>
      <c r="F6" s="3">
        <v>13</v>
      </c>
      <c r="G6" s="3">
        <v>9</v>
      </c>
    </row>
    <row r="7" spans="1:7" x14ac:dyDescent="0.25">
      <c r="A7" s="3" t="s">
        <v>20</v>
      </c>
      <c r="B7" s="3" t="s">
        <v>29</v>
      </c>
      <c r="C7" s="3">
        <v>0.2</v>
      </c>
      <c r="D7" s="3" t="s">
        <v>28</v>
      </c>
      <c r="E7" s="3">
        <v>3</v>
      </c>
      <c r="F7" s="3">
        <v>13</v>
      </c>
      <c r="G7" s="3">
        <v>9</v>
      </c>
    </row>
    <row r="8" spans="1:7" x14ac:dyDescent="0.25">
      <c r="A8" s="3" t="s">
        <v>20</v>
      </c>
      <c r="B8" s="3" t="s">
        <v>30</v>
      </c>
      <c r="C8" s="3">
        <v>0.02</v>
      </c>
      <c r="D8" s="3" t="s">
        <v>24</v>
      </c>
      <c r="E8" s="3">
        <v>3</v>
      </c>
      <c r="F8" s="3">
        <v>13</v>
      </c>
      <c r="G8" s="3">
        <v>9</v>
      </c>
    </row>
    <row r="9" spans="1:7" x14ac:dyDescent="0.25">
      <c r="A9" s="3" t="s">
        <v>20</v>
      </c>
      <c r="B9" s="3" t="s">
        <v>31</v>
      </c>
      <c r="C9" s="3">
        <v>0.02</v>
      </c>
      <c r="D9" s="3" t="s">
        <v>24</v>
      </c>
      <c r="E9" s="3">
        <v>3</v>
      </c>
      <c r="F9" s="3">
        <v>13</v>
      </c>
      <c r="G9" s="3">
        <v>9</v>
      </c>
    </row>
    <row r="10" spans="1:7" x14ac:dyDescent="0.25">
      <c r="A10" s="3" t="s">
        <v>20</v>
      </c>
      <c r="B10" s="3" t="s">
        <v>32</v>
      </c>
      <c r="C10" s="3">
        <v>0.2</v>
      </c>
      <c r="D10" s="3" t="s">
        <v>28</v>
      </c>
      <c r="E10" s="3">
        <v>3</v>
      </c>
      <c r="F10" s="3">
        <v>13</v>
      </c>
      <c r="G10" s="3">
        <v>9</v>
      </c>
    </row>
    <row r="11" spans="1:7" x14ac:dyDescent="0.25">
      <c r="A11" s="3" t="s">
        <v>20</v>
      </c>
      <c r="B11" s="3" t="s">
        <v>33</v>
      </c>
      <c r="C11" s="3">
        <v>0.2</v>
      </c>
      <c r="D11" s="3" t="s">
        <v>28</v>
      </c>
      <c r="E11" s="3">
        <v>3</v>
      </c>
      <c r="F11" s="3">
        <v>13</v>
      </c>
      <c r="G11" s="3">
        <v>9</v>
      </c>
    </row>
    <row r="12" spans="1:7" x14ac:dyDescent="0.25">
      <c r="A12" s="3" t="s">
        <v>20</v>
      </c>
      <c r="B12" s="3" t="s">
        <v>34</v>
      </c>
      <c r="C12" s="3">
        <v>1</v>
      </c>
      <c r="D12" s="3" t="s">
        <v>22</v>
      </c>
      <c r="E12" s="3">
        <v>3</v>
      </c>
      <c r="F12" s="3">
        <v>13</v>
      </c>
      <c r="G12" s="3">
        <v>9</v>
      </c>
    </row>
    <row r="13" spans="1:7" x14ac:dyDescent="0.25">
      <c r="A13" s="3" t="s">
        <v>35</v>
      </c>
      <c r="B13" s="3" t="s">
        <v>36</v>
      </c>
      <c r="C13" s="3">
        <v>1</v>
      </c>
      <c r="D13" s="3" t="s">
        <v>22</v>
      </c>
      <c r="E13" s="3">
        <v>3</v>
      </c>
      <c r="F13" s="3">
        <v>13</v>
      </c>
      <c r="G13" s="3">
        <v>9</v>
      </c>
    </row>
    <row r="14" spans="1:7" x14ac:dyDescent="0.25">
      <c r="A14" s="3" t="s">
        <v>20</v>
      </c>
      <c r="B14" s="3" t="s">
        <v>37</v>
      </c>
      <c r="C14" s="3">
        <v>5.0000000000000001E-4</v>
      </c>
      <c r="D14" s="3" t="s">
        <v>38</v>
      </c>
      <c r="E14" s="3">
        <v>3</v>
      </c>
      <c r="F14" s="3">
        <v>13</v>
      </c>
      <c r="G14" s="3">
        <v>9</v>
      </c>
    </row>
    <row r="15" spans="1:7" x14ac:dyDescent="0.25">
      <c r="A15" s="3" t="s">
        <v>20</v>
      </c>
      <c r="B15" s="3" t="s">
        <v>39</v>
      </c>
      <c r="C15" s="3">
        <v>1</v>
      </c>
      <c r="D15" s="3" t="s">
        <v>40</v>
      </c>
      <c r="E15" s="3">
        <v>3</v>
      </c>
      <c r="F15" s="3">
        <v>13</v>
      </c>
      <c r="G15" s="3">
        <v>9</v>
      </c>
    </row>
  </sheetData>
  <phoneticPr fontId="3" type="noConversion"/>
  <dataValidations count="4">
    <dataValidation type="list" allowBlank="1" sqref="A2:A300" xr:uid="{00000000-0002-0000-0100-000000000000}">
      <formula1>"Y,N"</formula1>
    </dataValidation>
    <dataValidation type="list" allowBlank="1" sqref="B2:B300" xr:uid="{00000000-0002-0000-0100-000001000000}">
      <formula1>"半径,曲率半径,厚度,面偏心X,面偏心Y,面倾斜X,面倾斜Y,元件偏心X,元件偏心Y,元件倾斜X,元件倾斜Y,面不规则,Zernike不规则度,折射率,阿贝%"</formula1>
    </dataValidation>
    <dataValidation type="list" allowBlank="1" sqref="D2" xr:uid="{00000000-0002-0000-0100-000002000000}">
      <formula1>"光圈,毫米,百分比"</formula1>
    </dataValidation>
    <dataValidation type="list" allowBlank="1" sqref="D6:D7" xr:uid="{00000000-0002-0000-0100-000003000000}">
      <formula1>"度,毫米"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5"/>
  <sheetViews>
    <sheetView workbookViewId="0">
      <selection activeCell="D11" sqref="D11"/>
    </sheetView>
  </sheetViews>
  <sheetFormatPr defaultRowHeight="14.4" x14ac:dyDescent="0.25"/>
  <cols>
    <col min="1" max="7" width="10" customWidth="1"/>
  </cols>
  <sheetData>
    <row r="1" spans="1:7" x14ac:dyDescent="0.25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</row>
    <row r="2" spans="1:7" x14ac:dyDescent="0.25">
      <c r="A2" t="s">
        <v>20</v>
      </c>
      <c r="B2" t="s">
        <v>21</v>
      </c>
      <c r="C2">
        <v>3</v>
      </c>
      <c r="D2" t="s">
        <v>123</v>
      </c>
      <c r="E2">
        <v>3</v>
      </c>
      <c r="F2">
        <v>13</v>
      </c>
      <c r="G2">
        <v>9</v>
      </c>
    </row>
    <row r="3" spans="1:7" x14ac:dyDescent="0.25">
      <c r="A3" t="s">
        <v>20</v>
      </c>
      <c r="B3" t="s">
        <v>23</v>
      </c>
      <c r="C3">
        <v>0.03</v>
      </c>
      <c r="D3" t="s">
        <v>24</v>
      </c>
      <c r="E3">
        <v>3</v>
      </c>
      <c r="F3">
        <v>13</v>
      </c>
      <c r="G3">
        <v>9</v>
      </c>
    </row>
    <row r="4" spans="1:7" x14ac:dyDescent="0.25">
      <c r="A4" t="s">
        <v>20</v>
      </c>
      <c r="B4" t="s">
        <v>25</v>
      </c>
      <c r="C4">
        <v>0.02</v>
      </c>
      <c r="D4" t="s">
        <v>24</v>
      </c>
      <c r="E4">
        <v>3</v>
      </c>
      <c r="F4">
        <v>13</v>
      </c>
      <c r="G4">
        <v>9</v>
      </c>
    </row>
    <row r="5" spans="1:7" x14ac:dyDescent="0.25">
      <c r="A5" t="s">
        <v>20</v>
      </c>
      <c r="B5" t="s">
        <v>26</v>
      </c>
      <c r="C5">
        <v>0.02</v>
      </c>
      <c r="D5" t="s">
        <v>24</v>
      </c>
      <c r="E5">
        <v>3</v>
      </c>
      <c r="F5">
        <v>13</v>
      </c>
      <c r="G5">
        <v>9</v>
      </c>
    </row>
    <row r="6" spans="1:7" x14ac:dyDescent="0.25">
      <c r="A6" t="s">
        <v>20</v>
      </c>
      <c r="B6" t="s">
        <v>27</v>
      </c>
      <c r="C6">
        <v>0.2</v>
      </c>
      <c r="D6" t="s">
        <v>124</v>
      </c>
      <c r="E6">
        <v>3</v>
      </c>
      <c r="F6">
        <v>13</v>
      </c>
      <c r="G6">
        <v>9</v>
      </c>
    </row>
    <row r="7" spans="1:7" x14ac:dyDescent="0.25">
      <c r="A7" t="s">
        <v>20</v>
      </c>
      <c r="B7" t="s">
        <v>29</v>
      </c>
      <c r="C7">
        <v>0.2</v>
      </c>
      <c r="D7" t="s">
        <v>28</v>
      </c>
      <c r="E7">
        <v>3</v>
      </c>
      <c r="F7">
        <v>13</v>
      </c>
      <c r="G7">
        <v>9</v>
      </c>
    </row>
    <row r="8" spans="1:7" x14ac:dyDescent="0.25">
      <c r="A8" t="s">
        <v>20</v>
      </c>
      <c r="B8" t="s">
        <v>30</v>
      </c>
      <c r="C8">
        <v>0.02</v>
      </c>
      <c r="D8" t="s">
        <v>24</v>
      </c>
      <c r="E8">
        <v>3</v>
      </c>
      <c r="F8">
        <v>13</v>
      </c>
      <c r="G8">
        <v>9</v>
      </c>
    </row>
    <row r="9" spans="1:7" x14ac:dyDescent="0.25">
      <c r="A9" t="s">
        <v>20</v>
      </c>
      <c r="B9" t="s">
        <v>31</v>
      </c>
      <c r="C9">
        <v>0.02</v>
      </c>
      <c r="D9" t="s">
        <v>24</v>
      </c>
      <c r="E9">
        <v>3</v>
      </c>
      <c r="F9">
        <v>13</v>
      </c>
      <c r="G9">
        <v>9</v>
      </c>
    </row>
    <row r="10" spans="1:7" x14ac:dyDescent="0.25">
      <c r="A10" t="s">
        <v>20</v>
      </c>
      <c r="B10" t="s">
        <v>32</v>
      </c>
      <c r="C10">
        <v>0.2</v>
      </c>
      <c r="D10" t="s">
        <v>124</v>
      </c>
      <c r="E10">
        <v>3</v>
      </c>
      <c r="F10">
        <v>13</v>
      </c>
      <c r="G10">
        <v>9</v>
      </c>
    </row>
    <row r="11" spans="1:7" x14ac:dyDescent="0.25">
      <c r="A11" t="s">
        <v>20</v>
      </c>
      <c r="B11" t="s">
        <v>33</v>
      </c>
      <c r="C11">
        <v>0.2</v>
      </c>
      <c r="D11" t="s">
        <v>28</v>
      </c>
      <c r="E11">
        <v>3</v>
      </c>
      <c r="F11">
        <v>13</v>
      </c>
      <c r="G11">
        <v>9</v>
      </c>
    </row>
    <row r="12" spans="1:7" x14ac:dyDescent="0.25">
      <c r="A12" t="s">
        <v>20</v>
      </c>
      <c r="B12" t="s">
        <v>34</v>
      </c>
      <c r="C12">
        <v>1</v>
      </c>
      <c r="D12" t="s">
        <v>123</v>
      </c>
      <c r="E12">
        <v>3</v>
      </c>
      <c r="F12">
        <v>13</v>
      </c>
      <c r="G12">
        <v>9</v>
      </c>
    </row>
    <row r="13" spans="1:7" x14ac:dyDescent="0.25">
      <c r="A13" t="s">
        <v>35</v>
      </c>
      <c r="B13" t="s">
        <v>36</v>
      </c>
      <c r="C13">
        <v>1</v>
      </c>
      <c r="D13" t="s">
        <v>123</v>
      </c>
      <c r="E13">
        <v>3</v>
      </c>
      <c r="F13">
        <v>13</v>
      </c>
      <c r="G13">
        <v>9</v>
      </c>
    </row>
    <row r="14" spans="1:7" x14ac:dyDescent="0.25">
      <c r="A14" t="s">
        <v>20</v>
      </c>
      <c r="B14" t="s">
        <v>37</v>
      </c>
      <c r="C14">
        <v>5.0000000000000001E-4</v>
      </c>
      <c r="D14" t="s">
        <v>38</v>
      </c>
      <c r="E14">
        <v>3</v>
      </c>
      <c r="F14">
        <v>13</v>
      </c>
      <c r="G14">
        <v>9</v>
      </c>
    </row>
    <row r="15" spans="1:7" x14ac:dyDescent="0.25">
      <c r="A15" t="s">
        <v>20</v>
      </c>
      <c r="B15" t="s">
        <v>39</v>
      </c>
      <c r="C15">
        <v>1</v>
      </c>
      <c r="D15" t="s">
        <v>40</v>
      </c>
      <c r="E15">
        <v>3</v>
      </c>
      <c r="F15">
        <v>13</v>
      </c>
      <c r="G15">
        <v>9</v>
      </c>
    </row>
  </sheetData>
  <phoneticPr fontId="3" type="noConversion"/>
  <dataValidations count="4">
    <dataValidation type="list" allowBlank="1" sqref="A2:A300" xr:uid="{00000000-0002-0000-0200-000000000000}">
      <formula1>"Y,N"</formula1>
    </dataValidation>
    <dataValidation type="list" allowBlank="1" sqref="B2:B300" xr:uid="{00000000-0002-0000-0200-000001000000}">
      <formula1>"半径,曲率半径,厚度,面偏心X,面偏心Y,面倾斜X,面倾斜Y,元件偏心X,元件偏心Y,元件倾斜X,元件倾斜Y,面不规则,Zernike不规则度,折射率,阿贝%"</formula1>
    </dataValidation>
    <dataValidation type="list" allowBlank="1" sqref="D2" xr:uid="{00000000-0002-0000-0200-000002000000}">
      <formula1>"光圈,毫米,百分比"</formula1>
    </dataValidation>
    <dataValidation type="list" allowBlank="1" sqref="D6:D7" xr:uid="{00000000-0002-0000-0200-000003000000}">
      <formula1>"度,毫米"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"/>
  <sheetViews>
    <sheetView workbookViewId="0">
      <selection activeCell="B4" sqref="B4"/>
    </sheetView>
  </sheetViews>
  <sheetFormatPr defaultRowHeight="14.4" x14ac:dyDescent="0.25"/>
  <cols>
    <col min="1" max="6" width="10" customWidth="1"/>
  </cols>
  <sheetData>
    <row r="1" spans="1:6" x14ac:dyDescent="0.25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  <c r="F1" s="2" t="s">
        <v>46</v>
      </c>
    </row>
    <row r="2" spans="1:6" x14ac:dyDescent="0.25">
      <c r="A2" s="3" t="s">
        <v>47</v>
      </c>
      <c r="B2" s="3">
        <v>5</v>
      </c>
      <c r="C2" s="3">
        <v>5</v>
      </c>
      <c r="D2" s="3">
        <v>-3</v>
      </c>
      <c r="E2" s="3">
        <v>3</v>
      </c>
      <c r="F2" s="3" t="s">
        <v>48</v>
      </c>
    </row>
    <row r="3" spans="1:6" x14ac:dyDescent="0.25">
      <c r="A3" s="3" t="s">
        <v>49</v>
      </c>
      <c r="B3" s="3">
        <v>6</v>
      </c>
      <c r="C3" s="3">
        <v>6</v>
      </c>
      <c r="D3" s="3">
        <v>-0.05</v>
      </c>
      <c r="E3" s="3">
        <v>0.05</v>
      </c>
      <c r="F3" s="3" t="s">
        <v>50</v>
      </c>
    </row>
    <row r="4" spans="1:6" x14ac:dyDescent="0.25">
      <c r="A4" s="3" t="s">
        <v>51</v>
      </c>
      <c r="B4" s="3">
        <v>7</v>
      </c>
      <c r="C4" s="3">
        <v>7</v>
      </c>
      <c r="D4" s="3">
        <v>-1</v>
      </c>
      <c r="E4" s="3">
        <v>1</v>
      </c>
      <c r="F4" s="3" t="s">
        <v>52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"/>
  <sheetViews>
    <sheetView workbookViewId="0"/>
  </sheetViews>
  <sheetFormatPr defaultRowHeight="14.4" x14ac:dyDescent="0.25"/>
  <cols>
    <col min="1" max="6" width="10" customWidth="1"/>
  </cols>
  <sheetData>
    <row r="1" spans="1:6" x14ac:dyDescent="0.25">
      <c r="A1" s="2" t="s">
        <v>41</v>
      </c>
      <c r="B1" s="2" t="s">
        <v>42</v>
      </c>
      <c r="C1" s="2" t="s">
        <v>43</v>
      </c>
      <c r="D1" s="2" t="s">
        <v>44</v>
      </c>
      <c r="E1" s="2" t="s">
        <v>45</v>
      </c>
      <c r="F1" s="2" t="s">
        <v>46</v>
      </c>
    </row>
  </sheetData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9"/>
  <sheetViews>
    <sheetView workbookViewId="0"/>
  </sheetViews>
  <sheetFormatPr defaultRowHeight="14.4" x14ac:dyDescent="0.25"/>
  <cols>
    <col min="1" max="13" width="10" customWidth="1"/>
  </cols>
  <sheetData>
    <row r="1" spans="1:13" x14ac:dyDescent="0.25">
      <c r="A1" s="2" t="s">
        <v>53</v>
      </c>
      <c r="B1" s="2" t="s">
        <v>41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  <c r="J1" s="2" t="s">
        <v>61</v>
      </c>
      <c r="K1" s="2" t="s">
        <v>62</v>
      </c>
      <c r="L1" s="2" t="s">
        <v>63</v>
      </c>
      <c r="M1" s="2" t="s">
        <v>46</v>
      </c>
    </row>
    <row r="2" spans="1:13" x14ac:dyDescent="0.25">
      <c r="A2" s="3">
        <v>2</v>
      </c>
      <c r="B2" s="3" t="s">
        <v>64</v>
      </c>
      <c r="C2" s="3">
        <v>3</v>
      </c>
      <c r="D2" s="3">
        <v>2</v>
      </c>
      <c r="E2" s="3">
        <v>0</v>
      </c>
      <c r="F2" s="3">
        <v>0</v>
      </c>
      <c r="G2" s="3"/>
      <c r="H2" s="3"/>
      <c r="I2" s="3"/>
      <c r="J2" s="3"/>
      <c r="K2" s="3">
        <v>0</v>
      </c>
      <c r="L2" s="3">
        <v>1</v>
      </c>
      <c r="M2" s="3" t="s">
        <v>65</v>
      </c>
    </row>
    <row r="3" spans="1:13" x14ac:dyDescent="0.25">
      <c r="A3" s="3">
        <v>3</v>
      </c>
      <c r="B3" s="3" t="s">
        <v>64</v>
      </c>
      <c r="C3" s="3">
        <v>3</v>
      </c>
      <c r="D3" s="3">
        <v>2</v>
      </c>
      <c r="E3" s="3">
        <v>0</v>
      </c>
      <c r="F3" s="3">
        <v>0.5</v>
      </c>
      <c r="G3" s="3"/>
      <c r="H3" s="3"/>
      <c r="I3" s="3"/>
      <c r="J3" s="3"/>
      <c r="K3" s="3">
        <v>0</v>
      </c>
      <c r="L3" s="3">
        <v>1</v>
      </c>
      <c r="M3" s="3" t="s">
        <v>66</v>
      </c>
    </row>
    <row r="4" spans="1:13" x14ac:dyDescent="0.25">
      <c r="A4" s="3">
        <v>4</v>
      </c>
      <c r="B4" s="3" t="s">
        <v>64</v>
      </c>
      <c r="C4" s="3">
        <v>3</v>
      </c>
      <c r="D4" s="3">
        <v>2</v>
      </c>
      <c r="E4" s="3">
        <v>0</v>
      </c>
      <c r="F4" s="3">
        <v>0.9</v>
      </c>
      <c r="G4" s="3"/>
      <c r="H4" s="3"/>
      <c r="I4" s="3"/>
      <c r="J4" s="3"/>
      <c r="K4" s="3">
        <v>0</v>
      </c>
      <c r="L4" s="3">
        <v>1</v>
      </c>
      <c r="M4" s="3" t="s">
        <v>67</v>
      </c>
    </row>
    <row r="5" spans="1:13" x14ac:dyDescent="0.25">
      <c r="A5" s="3">
        <v>5</v>
      </c>
      <c r="B5" s="3" t="s">
        <v>68</v>
      </c>
      <c r="C5" s="3">
        <v>3</v>
      </c>
      <c r="D5" s="3">
        <v>2</v>
      </c>
      <c r="E5" s="3">
        <v>1</v>
      </c>
      <c r="F5" s="3">
        <v>0.95</v>
      </c>
      <c r="G5" s="3">
        <v>1</v>
      </c>
      <c r="H5" s="3">
        <v>0</v>
      </c>
      <c r="I5" s="3">
        <v>0</v>
      </c>
      <c r="J5" s="3"/>
      <c r="K5" s="3">
        <v>0</v>
      </c>
      <c r="L5" s="3">
        <v>1</v>
      </c>
      <c r="M5" s="3" t="s">
        <v>69</v>
      </c>
    </row>
    <row r="6" spans="1:13" x14ac:dyDescent="0.25">
      <c r="A6" s="3">
        <v>6</v>
      </c>
      <c r="B6" s="3" t="s">
        <v>68</v>
      </c>
      <c r="C6" s="3">
        <v>3</v>
      </c>
      <c r="D6" s="3">
        <v>2</v>
      </c>
      <c r="E6" s="3">
        <v>5</v>
      </c>
      <c r="F6" s="3">
        <v>0.95</v>
      </c>
      <c r="G6" s="3">
        <v>1</v>
      </c>
      <c r="H6" s="3">
        <v>0</v>
      </c>
      <c r="I6" s="3">
        <v>0</v>
      </c>
      <c r="J6" s="3"/>
      <c r="K6" s="3">
        <v>0</v>
      </c>
      <c r="L6" s="3">
        <v>1</v>
      </c>
      <c r="M6" s="3" t="s">
        <v>70</v>
      </c>
    </row>
    <row r="7" spans="1:13" x14ac:dyDescent="0.25">
      <c r="A7" s="3">
        <v>7</v>
      </c>
      <c r="B7" s="3" t="s">
        <v>68</v>
      </c>
      <c r="C7" s="3">
        <v>3</v>
      </c>
      <c r="D7" s="3">
        <v>2</v>
      </c>
      <c r="E7" s="3">
        <v>8</v>
      </c>
      <c r="F7" s="3">
        <v>0.95</v>
      </c>
      <c r="G7" s="3">
        <v>1</v>
      </c>
      <c r="H7" s="3">
        <v>0</v>
      </c>
      <c r="I7" s="3">
        <v>0</v>
      </c>
      <c r="J7" s="3"/>
      <c r="K7" s="3">
        <v>0</v>
      </c>
      <c r="L7" s="3">
        <v>1</v>
      </c>
      <c r="M7" s="3" t="s">
        <v>71</v>
      </c>
    </row>
    <row r="8" spans="1:13" x14ac:dyDescent="0.25">
      <c r="A8" s="3">
        <v>8</v>
      </c>
      <c r="B8" s="3" t="s">
        <v>72</v>
      </c>
      <c r="C8" s="3">
        <v>3</v>
      </c>
      <c r="D8" s="3">
        <v>2</v>
      </c>
      <c r="E8" s="3">
        <v>1</v>
      </c>
      <c r="F8" s="3">
        <v>34</v>
      </c>
      <c r="G8" s="3">
        <v>0</v>
      </c>
      <c r="H8" s="3">
        <v>0</v>
      </c>
      <c r="I8" s="3"/>
      <c r="J8" s="3"/>
      <c r="K8" s="3">
        <v>0</v>
      </c>
      <c r="L8" s="3">
        <v>1</v>
      </c>
      <c r="M8" s="3" t="s">
        <v>73</v>
      </c>
    </row>
    <row r="9" spans="1:13" x14ac:dyDescent="0.25">
      <c r="A9" s="3">
        <v>9</v>
      </c>
      <c r="B9" s="3" t="s">
        <v>74</v>
      </c>
      <c r="C9" s="3">
        <v>3</v>
      </c>
      <c r="D9" s="3">
        <v>2</v>
      </c>
      <c r="E9" s="3">
        <v>1</v>
      </c>
      <c r="F9" s="3">
        <v>34</v>
      </c>
      <c r="G9" s="3">
        <v>0</v>
      </c>
      <c r="H9" s="3">
        <v>0</v>
      </c>
      <c r="I9" s="3"/>
      <c r="J9" s="3"/>
      <c r="K9" s="3">
        <v>0</v>
      </c>
      <c r="L9" s="3">
        <v>1</v>
      </c>
      <c r="M9" s="3" t="s">
        <v>75</v>
      </c>
    </row>
  </sheetData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1"/>
  <sheetViews>
    <sheetView workbookViewId="0"/>
  </sheetViews>
  <sheetFormatPr defaultRowHeight="14.4" x14ac:dyDescent="0.25"/>
  <cols>
    <col min="1" max="13" width="10" customWidth="1"/>
  </cols>
  <sheetData>
    <row r="1" spans="1:13" x14ac:dyDescent="0.25">
      <c r="A1" s="2" t="s">
        <v>53</v>
      </c>
      <c r="B1" s="2" t="s">
        <v>41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58</v>
      </c>
      <c r="H1" s="2" t="s">
        <v>59</v>
      </c>
      <c r="I1" s="2" t="s">
        <v>60</v>
      </c>
      <c r="J1" s="2" t="s">
        <v>61</v>
      </c>
      <c r="K1" s="2" t="s">
        <v>62</v>
      </c>
      <c r="L1" s="2" t="s">
        <v>63</v>
      </c>
      <c r="M1" s="2" t="s">
        <v>46</v>
      </c>
    </row>
  </sheetData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7"/>
  <sheetViews>
    <sheetView workbookViewId="0"/>
  </sheetViews>
  <sheetFormatPr defaultRowHeight="14.4" x14ac:dyDescent="0.25"/>
  <cols>
    <col min="1" max="5" width="10" customWidth="1"/>
  </cols>
  <sheetData>
    <row r="1" spans="1:5" x14ac:dyDescent="0.25">
      <c r="A1" s="2" t="s">
        <v>13</v>
      </c>
      <c r="B1" s="2" t="s">
        <v>76</v>
      </c>
      <c r="C1" s="2" t="s">
        <v>77</v>
      </c>
      <c r="D1" s="2" t="s">
        <v>78</v>
      </c>
      <c r="E1" s="2" t="s">
        <v>16</v>
      </c>
    </row>
    <row r="2" spans="1:5" x14ac:dyDescent="0.25">
      <c r="A2" s="3" t="s">
        <v>20</v>
      </c>
      <c r="B2" s="3" t="s">
        <v>79</v>
      </c>
      <c r="C2" s="3">
        <v>2</v>
      </c>
      <c r="D2" s="3" t="s">
        <v>80</v>
      </c>
      <c r="E2" s="3" t="s">
        <v>24</v>
      </c>
    </row>
    <row r="3" spans="1:5" x14ac:dyDescent="0.25">
      <c r="A3" s="3" t="s">
        <v>20</v>
      </c>
      <c r="B3" s="3" t="s">
        <v>81</v>
      </c>
      <c r="C3" s="3">
        <v>3</v>
      </c>
      <c r="D3" s="3" t="s">
        <v>80</v>
      </c>
      <c r="E3" s="3" t="s">
        <v>24</v>
      </c>
    </row>
    <row r="4" spans="1:5" x14ac:dyDescent="0.25">
      <c r="A4" s="3" t="s">
        <v>20</v>
      </c>
      <c r="B4" s="3" t="s">
        <v>82</v>
      </c>
      <c r="C4" s="3">
        <v>4</v>
      </c>
      <c r="D4" s="3" t="s">
        <v>80</v>
      </c>
      <c r="E4" s="3" t="s">
        <v>24</v>
      </c>
    </row>
    <row r="5" spans="1:5" x14ac:dyDescent="0.25">
      <c r="A5" s="3" t="s">
        <v>20</v>
      </c>
      <c r="B5" s="3" t="s">
        <v>83</v>
      </c>
      <c r="C5" s="3">
        <v>5</v>
      </c>
      <c r="D5" s="3" t="s">
        <v>80</v>
      </c>
      <c r="E5" s="3" t="s">
        <v>84</v>
      </c>
    </row>
    <row r="6" spans="1:5" x14ac:dyDescent="0.25">
      <c r="A6" s="3" t="s">
        <v>20</v>
      </c>
      <c r="B6" s="3" t="s">
        <v>85</v>
      </c>
      <c r="C6" s="3">
        <v>8</v>
      </c>
      <c r="D6" s="3" t="s">
        <v>86</v>
      </c>
      <c r="E6" s="3" t="s">
        <v>38</v>
      </c>
    </row>
    <row r="7" spans="1:5" x14ac:dyDescent="0.25">
      <c r="A7" s="3" t="s">
        <v>20</v>
      </c>
      <c r="B7" s="3" t="s">
        <v>87</v>
      </c>
      <c r="C7" s="3">
        <v>9</v>
      </c>
      <c r="D7" s="3" t="s">
        <v>86</v>
      </c>
      <c r="E7" s="3" t="s">
        <v>38</v>
      </c>
    </row>
  </sheetData>
  <phoneticPr fontId="3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"/>
  <sheetViews>
    <sheetView workbookViewId="0"/>
  </sheetViews>
  <sheetFormatPr defaultRowHeight="14.4" x14ac:dyDescent="0.25"/>
  <cols>
    <col min="1" max="5" width="10" customWidth="1"/>
  </cols>
  <sheetData>
    <row r="1" spans="1:5" x14ac:dyDescent="0.25">
      <c r="A1" s="2" t="s">
        <v>13</v>
      </c>
      <c r="B1" s="2" t="s">
        <v>76</v>
      </c>
      <c r="C1" s="2" t="s">
        <v>77</v>
      </c>
      <c r="D1" s="2" t="s">
        <v>78</v>
      </c>
      <c r="E1" s="2" t="s">
        <v>16</v>
      </c>
    </row>
  </sheetData>
  <phoneticPr fontId="3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6"/>
  <sheetViews>
    <sheetView workbookViewId="0"/>
  </sheetViews>
  <sheetFormatPr defaultRowHeight="14.4" x14ac:dyDescent="0.25"/>
  <cols>
    <col min="1" max="3" width="10" customWidth="1"/>
  </cols>
  <sheetData>
    <row r="1" spans="1:3" x14ac:dyDescent="0.25">
      <c r="A1" s="2" t="s">
        <v>88</v>
      </c>
      <c r="B1" s="2" t="s">
        <v>89</v>
      </c>
      <c r="C1" s="2" t="s">
        <v>90</v>
      </c>
    </row>
    <row r="2" spans="1:3" x14ac:dyDescent="0.25">
      <c r="A2" s="3" t="s">
        <v>91</v>
      </c>
      <c r="B2" s="3">
        <v>200</v>
      </c>
      <c r="C2" s="3" t="s">
        <v>92</v>
      </c>
    </row>
    <row r="3" spans="1:3" x14ac:dyDescent="0.25">
      <c r="A3" s="3" t="s">
        <v>93</v>
      </c>
      <c r="B3" s="3">
        <v>10</v>
      </c>
      <c r="C3" s="3" t="s">
        <v>94</v>
      </c>
    </row>
    <row r="4" spans="1:3" x14ac:dyDescent="0.25">
      <c r="A4" s="3" t="s">
        <v>95</v>
      </c>
      <c r="B4" s="3" t="s">
        <v>96</v>
      </c>
      <c r="C4" s="3" t="s">
        <v>97</v>
      </c>
    </row>
    <row r="5" spans="1:3" x14ac:dyDescent="0.25">
      <c r="A5" s="3" t="s">
        <v>98</v>
      </c>
      <c r="B5" s="3" t="s">
        <v>99</v>
      </c>
      <c r="C5" s="3" t="s">
        <v>100</v>
      </c>
    </row>
    <row r="6" spans="1:3" x14ac:dyDescent="0.25">
      <c r="A6" s="3" t="s">
        <v>101</v>
      </c>
      <c r="B6" s="3">
        <v>4</v>
      </c>
      <c r="C6" s="3" t="s">
        <v>102</v>
      </c>
    </row>
    <row r="7" spans="1:3" x14ac:dyDescent="0.25">
      <c r="A7" s="3" t="s">
        <v>103</v>
      </c>
      <c r="B7" s="3">
        <v>2</v>
      </c>
      <c r="C7" s="3" t="s">
        <v>104</v>
      </c>
    </row>
    <row r="8" spans="1:3" x14ac:dyDescent="0.25">
      <c r="A8" s="3" t="s">
        <v>105</v>
      </c>
      <c r="B8" s="3"/>
      <c r="C8" s="3" t="s">
        <v>106</v>
      </c>
    </row>
    <row r="9" spans="1:3" x14ac:dyDescent="0.25">
      <c r="A9" s="3" t="s">
        <v>107</v>
      </c>
      <c r="B9" s="3"/>
      <c r="C9" s="3" t="s">
        <v>108</v>
      </c>
    </row>
    <row r="10" spans="1:3" x14ac:dyDescent="0.25">
      <c r="A10" s="3" t="s">
        <v>109</v>
      </c>
      <c r="B10" s="3"/>
      <c r="C10" s="3" t="s">
        <v>110</v>
      </c>
    </row>
    <row r="11" spans="1:3" x14ac:dyDescent="0.25">
      <c r="A11" s="3" t="s">
        <v>111</v>
      </c>
      <c r="B11" s="3">
        <v>34</v>
      </c>
      <c r="C11" s="3" t="s">
        <v>112</v>
      </c>
    </row>
    <row r="12" spans="1:3" x14ac:dyDescent="0.25">
      <c r="A12" s="3" t="s">
        <v>113</v>
      </c>
      <c r="B12" s="3" t="s">
        <v>20</v>
      </c>
      <c r="C12" s="3" t="s">
        <v>114</v>
      </c>
    </row>
    <row r="13" spans="1:3" x14ac:dyDescent="0.25">
      <c r="A13" s="3" t="s">
        <v>115</v>
      </c>
      <c r="B13" s="3" t="s">
        <v>20</v>
      </c>
      <c r="C13" s="3" t="s">
        <v>116</v>
      </c>
    </row>
    <row r="14" spans="1:3" x14ac:dyDescent="0.25">
      <c r="A14" s="3" t="s">
        <v>117</v>
      </c>
      <c r="B14" s="3" t="s">
        <v>20</v>
      </c>
      <c r="C14" s="3" t="s">
        <v>118</v>
      </c>
    </row>
    <row r="15" spans="1:3" x14ac:dyDescent="0.25">
      <c r="A15" s="3" t="s">
        <v>119</v>
      </c>
      <c r="B15" s="3" t="s">
        <v>20</v>
      </c>
      <c r="C15" s="3" t="s">
        <v>120</v>
      </c>
    </row>
    <row r="16" spans="1:3" x14ac:dyDescent="0.25">
      <c r="A16" s="3" t="s">
        <v>121</v>
      </c>
      <c r="B16" s="3" t="s">
        <v>35</v>
      </c>
      <c r="C16" s="3" t="s">
        <v>122</v>
      </c>
    </row>
  </sheetData>
  <phoneticPr fontId="3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16"/>
  <sheetViews>
    <sheetView tabSelected="1" workbookViewId="0"/>
  </sheetViews>
  <sheetFormatPr defaultRowHeight="14.4" x14ac:dyDescent="0.25"/>
  <cols>
    <col min="1" max="3" width="10" customWidth="1"/>
  </cols>
  <sheetData>
    <row r="1" spans="1:3" x14ac:dyDescent="0.25">
      <c r="A1" s="2" t="s">
        <v>88</v>
      </c>
      <c r="B1" s="2" t="s">
        <v>89</v>
      </c>
      <c r="C1" s="2" t="s">
        <v>90</v>
      </c>
    </row>
    <row r="2" spans="1:3" x14ac:dyDescent="0.25">
      <c r="A2" t="s">
        <v>91</v>
      </c>
      <c r="B2">
        <v>200</v>
      </c>
      <c r="C2" t="s">
        <v>92</v>
      </c>
    </row>
    <row r="3" spans="1:3" x14ac:dyDescent="0.25">
      <c r="A3" t="s">
        <v>93</v>
      </c>
      <c r="B3">
        <v>10</v>
      </c>
      <c r="C3" t="s">
        <v>94</v>
      </c>
    </row>
    <row r="4" spans="1:3" x14ac:dyDescent="0.25">
      <c r="A4" t="s">
        <v>95</v>
      </c>
      <c r="B4" t="s">
        <v>96</v>
      </c>
      <c r="C4" t="s">
        <v>97</v>
      </c>
    </row>
    <row r="5" spans="1:3" x14ac:dyDescent="0.25">
      <c r="A5" t="s">
        <v>98</v>
      </c>
      <c r="B5" t="s">
        <v>99</v>
      </c>
      <c r="C5" t="s">
        <v>100</v>
      </c>
    </row>
    <row r="6" spans="1:3" x14ac:dyDescent="0.25">
      <c r="A6" t="s">
        <v>101</v>
      </c>
      <c r="B6">
        <v>4</v>
      </c>
      <c r="C6" t="s">
        <v>102</v>
      </c>
    </row>
    <row r="7" spans="1:3" x14ac:dyDescent="0.25">
      <c r="A7" t="s">
        <v>103</v>
      </c>
      <c r="B7">
        <v>2</v>
      </c>
      <c r="C7" t="s">
        <v>104</v>
      </c>
    </row>
    <row r="8" spans="1:3" x14ac:dyDescent="0.25">
      <c r="A8" t="s">
        <v>105</v>
      </c>
      <c r="C8" t="s">
        <v>106</v>
      </c>
    </row>
    <row r="9" spans="1:3" x14ac:dyDescent="0.25">
      <c r="A9" t="s">
        <v>107</v>
      </c>
      <c r="C9" t="s">
        <v>108</v>
      </c>
    </row>
    <row r="10" spans="1:3" x14ac:dyDescent="0.25">
      <c r="A10" t="s">
        <v>109</v>
      </c>
      <c r="C10" t="s">
        <v>110</v>
      </c>
    </row>
    <row r="11" spans="1:3" x14ac:dyDescent="0.25">
      <c r="A11" t="s">
        <v>111</v>
      </c>
      <c r="B11">
        <v>34</v>
      </c>
      <c r="C11" t="s">
        <v>112</v>
      </c>
    </row>
    <row r="12" spans="1:3" x14ac:dyDescent="0.25">
      <c r="A12" t="s">
        <v>113</v>
      </c>
      <c r="B12" t="s">
        <v>20</v>
      </c>
      <c r="C12" t="s">
        <v>114</v>
      </c>
    </row>
    <row r="13" spans="1:3" x14ac:dyDescent="0.25">
      <c r="A13" t="s">
        <v>115</v>
      </c>
      <c r="B13" t="s">
        <v>20</v>
      </c>
      <c r="C13" t="s">
        <v>116</v>
      </c>
    </row>
    <row r="14" spans="1:3" x14ac:dyDescent="0.25">
      <c r="A14" t="s">
        <v>117</v>
      </c>
      <c r="B14" t="s">
        <v>20</v>
      </c>
      <c r="C14" t="s">
        <v>118</v>
      </c>
    </row>
    <row r="15" spans="1:3" x14ac:dyDescent="0.25">
      <c r="A15" t="s">
        <v>119</v>
      </c>
      <c r="B15" t="s">
        <v>20</v>
      </c>
      <c r="C15" t="s">
        <v>120</v>
      </c>
    </row>
    <row r="16" spans="1:3" x14ac:dyDescent="0.25">
      <c r="A16" t="s">
        <v>121</v>
      </c>
      <c r="B16" t="s">
        <v>35</v>
      </c>
      <c r="C16" t="s">
        <v>122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说明</vt:lpstr>
      <vt:lpstr>示例_公差向导</vt:lpstr>
      <vt:lpstr>输入_公差向导</vt:lpstr>
      <vt:lpstr>示例_公差明细</vt:lpstr>
      <vt:lpstr>输入_公差明细</vt:lpstr>
      <vt:lpstr>示例_评价函数</vt:lpstr>
      <vt:lpstr>输入_评价函数</vt:lpstr>
      <vt:lpstr>示例_REPORT</vt:lpstr>
      <vt:lpstr>输入_REPORT</vt:lpstr>
      <vt:lpstr>示例_运行参数</vt:lpstr>
      <vt:lpstr>输入_运行参数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 力</cp:lastModifiedBy>
  <dcterms:created xsi:type="dcterms:W3CDTF">2026-06-23T14:14:53Z</dcterms:created>
  <dcterms:modified xsi:type="dcterms:W3CDTF">2026-06-23T14:17:11Z</dcterms:modified>
</cp:coreProperties>
</file>